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rikka\OneDrive\Documenti\PERSONALE\app-finanza\"/>
    </mc:Choice>
  </mc:AlternateContent>
  <xr:revisionPtr revIDLastSave="0" documentId="8_{FB93D035-6A85-4F5E-9799-812BD81D9B2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1" l="1"/>
  <c r="G31" i="1"/>
  <c r="J5" i="1"/>
  <c r="J19" i="1"/>
  <c r="J36" i="1"/>
  <c r="J60" i="1"/>
  <c r="J73" i="1"/>
  <c r="J83" i="1"/>
  <c r="J93" i="1"/>
  <c r="J103" i="1"/>
  <c r="M4" i="1"/>
  <c r="J101" i="1"/>
  <c r="J105" i="1"/>
  <c r="J91" i="1"/>
  <c r="J95" i="1"/>
  <c r="J81" i="1"/>
  <c r="J85" i="1"/>
  <c r="J71" i="1"/>
  <c r="J58" i="1"/>
  <c r="J62" i="1"/>
  <c r="J48" i="1"/>
  <c r="J52" i="1"/>
  <c r="J34" i="1"/>
  <c r="J38" i="1"/>
  <c r="J17" i="1"/>
  <c r="J22" i="1"/>
  <c r="J2" i="1"/>
  <c r="J8" i="1"/>
  <c r="M3" i="1" l="1"/>
  <c r="J75" i="1"/>
  <c r="M5" i="1" s="1"/>
</calcChain>
</file>

<file path=xl/sharedStrings.xml><?xml version="1.0" encoding="utf-8"?>
<sst xmlns="http://schemas.openxmlformats.org/spreadsheetml/2006/main" count="163" uniqueCount="85">
  <si>
    <t>ottobre</t>
  </si>
  <si>
    <t>spese fisse</t>
  </si>
  <si>
    <t>bollette</t>
  </si>
  <si>
    <t xml:space="preserve">spese extra </t>
  </si>
  <si>
    <t>entrate</t>
  </si>
  <si>
    <t>uscite mensili</t>
  </si>
  <si>
    <t>totale</t>
  </si>
  <si>
    <t>iliad</t>
  </si>
  <si>
    <t>acqua</t>
  </si>
  <si>
    <t>uscite tot</t>
  </si>
  <si>
    <t>now</t>
  </si>
  <si>
    <t>corrente</t>
  </si>
  <si>
    <t>entrate tot</t>
  </si>
  <si>
    <t>assicurazione</t>
  </si>
  <si>
    <t>bilancio annuo</t>
  </si>
  <si>
    <t>vestiti</t>
  </si>
  <si>
    <t xml:space="preserve">bilancio </t>
  </si>
  <si>
    <t>novembre</t>
  </si>
  <si>
    <t>dicembre</t>
  </si>
  <si>
    <t>gennaio</t>
  </si>
  <si>
    <t>febbraio</t>
  </si>
  <si>
    <t>marzo</t>
  </si>
  <si>
    <t>aprile</t>
  </si>
  <si>
    <t>maggio</t>
  </si>
  <si>
    <t>ilaid</t>
  </si>
  <si>
    <t>giugno</t>
  </si>
  <si>
    <t>vodafone</t>
  </si>
  <si>
    <t xml:space="preserve">vodafone </t>
  </si>
  <si>
    <t xml:space="preserve">tasse </t>
  </si>
  <si>
    <t>uscita 28</t>
  </si>
  <si>
    <t>spesa 28</t>
  </si>
  <si>
    <t>palestra</t>
  </si>
  <si>
    <t xml:space="preserve">palestra </t>
  </si>
  <si>
    <t>spesa 3</t>
  </si>
  <si>
    <t>uscita 3</t>
  </si>
  <si>
    <t>uscita 4</t>
  </si>
  <si>
    <t xml:space="preserve">barcolana </t>
  </si>
  <si>
    <t xml:space="preserve">TFR osteria </t>
  </si>
  <si>
    <t>spesa 13</t>
  </si>
  <si>
    <t>sushi 31</t>
  </si>
  <si>
    <t xml:space="preserve">breadboard </t>
  </si>
  <si>
    <t xml:space="preserve">TNT </t>
  </si>
  <si>
    <t>birretta 6</t>
  </si>
  <si>
    <t>spesa</t>
  </si>
  <si>
    <t>naspi</t>
  </si>
  <si>
    <t>spesa 8</t>
  </si>
  <si>
    <t>birretta 8</t>
  </si>
  <si>
    <t xml:space="preserve">pancetta + birra </t>
  </si>
  <si>
    <t>RAM pc</t>
  </si>
  <si>
    <t>spesa 14</t>
  </si>
  <si>
    <t xml:space="preserve">birretta </t>
  </si>
  <si>
    <t xml:space="preserve">aperitivo + benzina </t>
  </si>
  <si>
    <t xml:space="preserve">sushi </t>
  </si>
  <si>
    <t xml:space="preserve">pigiama panda </t>
  </si>
  <si>
    <t>attacchi gopro</t>
  </si>
  <si>
    <t>romba</t>
  </si>
  <si>
    <t xml:space="preserve">viti giradischi </t>
  </si>
  <si>
    <t>birretta 29</t>
  </si>
  <si>
    <t xml:space="preserve">spesa 1 </t>
  </si>
  <si>
    <t>casette 6</t>
  </si>
  <si>
    <t>spesa 9</t>
  </si>
  <si>
    <t>regalo sara</t>
  </si>
  <si>
    <t>ragalo mamma e papa</t>
  </si>
  <si>
    <t xml:space="preserve">birra </t>
  </si>
  <si>
    <t xml:space="preserve">treno </t>
  </si>
  <si>
    <t>verona</t>
  </si>
  <si>
    <t xml:space="preserve">uscita padova 14 </t>
  </si>
  <si>
    <t>copri divano</t>
  </si>
  <si>
    <t xml:space="preserve">gioco 2/3 Io 1/3 mattia </t>
  </si>
  <si>
    <t>rinnovo contratto</t>
  </si>
  <si>
    <t>spese varie</t>
  </si>
  <si>
    <t xml:space="preserve">spesa </t>
  </si>
  <si>
    <t xml:space="preserve">farmacia </t>
  </si>
  <si>
    <t xml:space="preserve">bollo </t>
  </si>
  <si>
    <t xml:space="preserve">filtro passa basso </t>
  </si>
  <si>
    <t>drink 21</t>
  </si>
  <si>
    <t>orologio</t>
  </si>
  <si>
    <t xml:space="preserve">bilancia </t>
  </si>
  <si>
    <t>tasse uni</t>
  </si>
  <si>
    <t>benzina</t>
  </si>
  <si>
    <t>alcol + mandarini</t>
  </si>
  <si>
    <t xml:space="preserve">pranzo montagna </t>
  </si>
  <si>
    <t>stampa bobine</t>
  </si>
  <si>
    <t>birretta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</si>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</sst>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10]_-;\-* #,##0.00\ [$€-410]_-;_-* &quot;-&quot;??\ [$€-410]_-;_-@_-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0" borderId="0" xfId="0" applyNumberFormat="1" applyAlignment="1">
      <alignment wrapText="1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/>
  </cellXfs>
  <cellStyles count="1">
    <cellStyle name="Normale" xfId="0" builtinId="0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abSelected="1" zoomScale="85" workbookViewId="0">
      <selection activeCell="C15" sqref="C15"/>
    </sheetView>
  </sheetViews>
  <sheetFormatPr defaultColWidth="42" defaultRowHeight="15" x14ac:dyDescent="0.25"/>
  <cols>
    <col min="2" max="2" width="42" style="2"/>
    <col min="3" max="3" width="42" style="3"/>
    <col min="4" max="4" width="42" style="2"/>
    <col min="5" max="5" width="42" style="3"/>
    <col min="7" max="8" width="42" style="3"/>
    <col min="9" max="9" width="36" style="3" customWidth="1"/>
    <col min="10" max="10" width="47.140625" customWidth="1"/>
  </cols>
  <sheetData>
    <row r="1" spans="1:13" x14ac:dyDescent="0.25">
      <c r="A1" t="s">
        <v>0</v>
      </c>
      <c r="B1" s="5" t="s">
        <v>1</v>
      </c>
      <c r="C1" s="6"/>
      <c r="D1" s="2" t="s">
        <v>2</v>
      </c>
      <c r="F1" s="8" t="s">
        <v>3</v>
      </c>
      <c r="H1" s="3" t="s">
        <v>4</v>
      </c>
      <c r="J1" t="s">
        <v>5</v>
      </c>
      <c r="L1" t="s">
        <v>6</v>
      </c>
    </row>
    <row r="2" spans="1:13" x14ac:dyDescent="0.25">
      <c r="J2" s="3">
        <f xml:space="preserve"> (SUM(C2:C11)+ SUM(G2:G11)+SUM(E2:E11))</f>
        <v>964.5</v>
      </c>
    </row>
    <row r="3" spans="1:13" x14ac:dyDescent="0.25">
      <c r="B3" s="2" t="s">
        <v>7</v>
      </c>
      <c r="C3" s="3">
        <v>10</v>
      </c>
      <c r="D3" s="1" t="s">
        <v>8</v>
      </c>
      <c r="E3" s="3">
        <v>17</v>
      </c>
      <c r="F3" t="s">
        <v>29</v>
      </c>
      <c r="G3" s="3">
        <v>9.5</v>
      </c>
      <c r="H3" s="3" t="s">
        <v>37</v>
      </c>
      <c r="I3" s="3">
        <v>460</v>
      </c>
      <c r="L3" t="s">
        <v>9</v>
      </c>
      <c r="M3" s="3">
        <f>SUM(J2+J17+J34+J48+J58+J71+J81+J91+J101)</f>
        <v>3590</v>
      </c>
    </row>
    <row r="4" spans="1:13" x14ac:dyDescent="0.25">
      <c r="B4" s="2" t="s">
        <v>10</v>
      </c>
      <c r="C4" s="3">
        <v>5</v>
      </c>
      <c r="D4" s="1" t="s">
        <v>11</v>
      </c>
      <c r="E4" s="3">
        <v>17</v>
      </c>
      <c r="F4" t="s">
        <v>30</v>
      </c>
      <c r="G4" s="3">
        <v>34</v>
      </c>
      <c r="J4" t="s">
        <v>4</v>
      </c>
      <c r="L4" t="s">
        <v>12</v>
      </c>
      <c r="M4" s="3">
        <f>J5+J19+J36+J50+J60+J73+J83+J93+J103</f>
        <v>840</v>
      </c>
    </row>
    <row r="5" spans="1:13" x14ac:dyDescent="0.25">
      <c r="B5" s="2" t="s">
        <v>13</v>
      </c>
      <c r="C5" s="4"/>
      <c r="D5" s="1"/>
      <c r="F5" t="s">
        <v>28</v>
      </c>
      <c r="G5" s="3">
        <v>580</v>
      </c>
      <c r="J5" s="3">
        <f>SUM(I2:I11)</f>
        <v>460</v>
      </c>
      <c r="L5" t="s">
        <v>14</v>
      </c>
      <c r="M5" s="3">
        <f>J8+J22+J38+J52+J62+J75+J85+J95+J105</f>
        <v>-2750</v>
      </c>
    </row>
    <row r="6" spans="1:13" x14ac:dyDescent="0.25">
      <c r="B6" s="2" t="s">
        <v>26</v>
      </c>
      <c r="C6" s="3">
        <v>7</v>
      </c>
      <c r="D6" s="1"/>
      <c r="F6" t="s">
        <v>15</v>
      </c>
      <c r="G6" s="3">
        <v>80</v>
      </c>
    </row>
    <row r="7" spans="1:13" x14ac:dyDescent="0.25">
      <c r="B7" s="2" t="s">
        <v>31</v>
      </c>
      <c r="C7" s="3">
        <v>30</v>
      </c>
      <c r="D7" s="1"/>
      <c r="F7" t="s">
        <v>33</v>
      </c>
      <c r="G7" s="3">
        <v>37</v>
      </c>
      <c r="J7" t="s">
        <v>16</v>
      </c>
    </row>
    <row r="8" spans="1:13" x14ac:dyDescent="0.25">
      <c r="D8" s="1"/>
      <c r="F8" t="s">
        <v>34</v>
      </c>
      <c r="G8" s="3">
        <v>7</v>
      </c>
      <c r="J8" s="3">
        <f>J5-J2</f>
        <v>-504.5</v>
      </c>
    </row>
    <row r="9" spans="1:13" x14ac:dyDescent="0.25">
      <c r="D9" s="1"/>
      <c r="F9" t="s">
        <v>36</v>
      </c>
      <c r="G9" s="3">
        <v>70</v>
      </c>
      <c r="J9" s="3"/>
    </row>
    <row r="10" spans="1:13" x14ac:dyDescent="0.25">
      <c r="D10" s="1"/>
      <c r="F10" t="s">
        <v>38</v>
      </c>
      <c r="G10" s="3">
        <v>40</v>
      </c>
      <c r="J10" s="3"/>
    </row>
    <row r="11" spans="1:13" x14ac:dyDescent="0.25">
      <c r="D11" s="5"/>
      <c r="F11" t="s">
        <v>35</v>
      </c>
      <c r="G11" s="3">
        <v>21</v>
      </c>
    </row>
    <row r="12" spans="1:13" x14ac:dyDescent="0.25">
      <c r="D12" s="5"/>
      <c r="F12" t="s">
        <v>39</v>
      </c>
      <c r="G12" s="3">
        <v>38</v>
      </c>
    </row>
    <row r="13" spans="1:13" x14ac:dyDescent="0.25">
      <c r="D13" s="5"/>
      <c r="F13" t="s">
        <v>40</v>
      </c>
      <c r="G13" s="3">
        <v>10</v>
      </c>
    </row>
    <row r="14" spans="1:13" x14ac:dyDescent="0.25">
      <c r="D14" s="5"/>
      <c r="F14" t="s">
        <v>41</v>
      </c>
      <c r="G14" s="3">
        <v>30</v>
      </c>
    </row>
    <row r="15" spans="1:13" s="9" customFormat="1" x14ac:dyDescent="0.25">
      <c r="B15" s="10"/>
      <c r="C15" s="11"/>
      <c r="D15" s="10"/>
      <c r="E15" s="11"/>
      <c r="G15" s="11"/>
      <c r="H15" s="11"/>
      <c r="I15" s="11"/>
    </row>
    <row r="16" spans="1:13" x14ac:dyDescent="0.25">
      <c r="A16" t="s">
        <v>17</v>
      </c>
      <c r="F16" t="s">
        <v>42</v>
      </c>
      <c r="G16" s="3">
        <v>17</v>
      </c>
      <c r="H16" s="3" t="s">
        <v>44</v>
      </c>
      <c r="I16" s="3">
        <v>330</v>
      </c>
      <c r="J16" s="3" t="s">
        <v>5</v>
      </c>
    </row>
    <row r="17" spans="2:10" x14ac:dyDescent="0.25">
      <c r="B17" s="2" t="s">
        <v>7</v>
      </c>
      <c r="C17" s="3">
        <v>10</v>
      </c>
      <c r="D17" s="2" t="s">
        <v>8</v>
      </c>
      <c r="E17" s="3">
        <v>46.5</v>
      </c>
      <c r="F17" t="s">
        <v>43</v>
      </c>
      <c r="G17" s="3">
        <v>32</v>
      </c>
      <c r="J17" s="3">
        <f xml:space="preserve"> (SUM(C17:C31)+ SUM(G17:G31)+SUM(E17:E31))</f>
        <v>439.5</v>
      </c>
    </row>
    <row r="18" spans="2:10" x14ac:dyDescent="0.25">
      <c r="B18" s="2" t="s">
        <v>10</v>
      </c>
      <c r="C18" s="3">
        <v>5</v>
      </c>
      <c r="D18" s="2" t="s">
        <v>11</v>
      </c>
      <c r="F18" t="s">
        <v>45</v>
      </c>
      <c r="G18" s="3">
        <v>45</v>
      </c>
      <c r="J18" t="s">
        <v>4</v>
      </c>
    </row>
    <row r="19" spans="2:10" x14ac:dyDescent="0.25">
      <c r="B19" s="2" t="s">
        <v>26</v>
      </c>
      <c r="C19" s="3">
        <v>7</v>
      </c>
      <c r="F19" t="s">
        <v>46</v>
      </c>
      <c r="G19" s="3">
        <v>6</v>
      </c>
      <c r="J19" s="3">
        <f>(SUM(I16:I31))</f>
        <v>330</v>
      </c>
    </row>
    <row r="20" spans="2:10" x14ac:dyDescent="0.25">
      <c r="B20" s="2" t="s">
        <v>32</v>
      </c>
      <c r="C20" s="3">
        <v>30</v>
      </c>
      <c r="F20" t="s">
        <v>47</v>
      </c>
      <c r="G20" s="3">
        <v>10</v>
      </c>
    </row>
    <row r="21" spans="2:10" x14ac:dyDescent="0.25">
      <c r="F21" t="s">
        <v>48</v>
      </c>
      <c r="G21" s="3">
        <v>33</v>
      </c>
      <c r="J21" t="s">
        <v>16</v>
      </c>
    </row>
    <row r="22" spans="2:10" x14ac:dyDescent="0.25">
      <c r="F22" t="s">
        <v>49</v>
      </c>
      <c r="G22" s="3">
        <v>38</v>
      </c>
      <c r="J22" s="3">
        <f>J19-J17</f>
        <v>-109.5</v>
      </c>
    </row>
    <row r="23" spans="2:10" x14ac:dyDescent="0.25">
      <c r="F23" t="s">
        <v>50</v>
      </c>
      <c r="G23" s="3">
        <v>20</v>
      </c>
    </row>
    <row r="24" spans="2:10" x14ac:dyDescent="0.25">
      <c r="F24" t="s">
        <v>52</v>
      </c>
      <c r="G24" s="3">
        <v>33</v>
      </c>
    </row>
    <row r="25" spans="2:10" x14ac:dyDescent="0.25">
      <c r="F25" t="s">
        <v>43</v>
      </c>
      <c r="G25" s="3">
        <v>23</v>
      </c>
    </row>
    <row r="26" spans="2:10" x14ac:dyDescent="0.25">
      <c r="F26" t="s">
        <v>53</v>
      </c>
      <c r="G26" s="3">
        <v>30</v>
      </c>
    </row>
    <row r="27" spans="2:10" x14ac:dyDescent="0.25">
      <c r="F27" t="s">
        <v>54</v>
      </c>
      <c r="G27" s="3">
        <v>10</v>
      </c>
    </row>
    <row r="28" spans="2:10" x14ac:dyDescent="0.25">
      <c r="F28" t="s">
        <v>55</v>
      </c>
      <c r="G28" s="3">
        <v>6</v>
      </c>
    </row>
    <row r="29" spans="2:10" x14ac:dyDescent="0.25">
      <c r="F29" t="s">
        <v>56</v>
      </c>
      <c r="G29" s="3">
        <v>10</v>
      </c>
    </row>
    <row r="30" spans="2:10" x14ac:dyDescent="0.25">
      <c r="F30" t="s">
        <v>57</v>
      </c>
      <c r="G30" s="3">
        <v>20</v>
      </c>
    </row>
    <row r="31" spans="2:10" x14ac:dyDescent="0.25">
      <c r="F31" t="s">
        <v>51</v>
      </c>
      <c r="G31" s="3">
        <f>10+15</f>
        <v>25</v>
      </c>
    </row>
    <row r="32" spans="2:10" s="9" customFormat="1" x14ac:dyDescent="0.25">
      <c r="B32" s="10"/>
      <c r="C32" s="11"/>
      <c r="D32" s="10"/>
      <c r="E32" s="11"/>
      <c r="G32" s="11"/>
      <c r="H32" s="11"/>
      <c r="I32" s="11"/>
    </row>
    <row r="33" spans="1:10" x14ac:dyDescent="0.25">
      <c r="A33" t="s">
        <v>18</v>
      </c>
      <c r="F33" t="s">
        <v>59</v>
      </c>
      <c r="G33" s="3">
        <v>40</v>
      </c>
      <c r="H33" s="3" t="s">
        <v>44</v>
      </c>
      <c r="I33" s="3">
        <v>19</v>
      </c>
      <c r="J33" s="3" t="s">
        <v>5</v>
      </c>
    </row>
    <row r="34" spans="1:10" x14ac:dyDescent="0.25">
      <c r="B34" s="2" t="s">
        <v>7</v>
      </c>
      <c r="C34" s="7">
        <v>10</v>
      </c>
      <c r="D34" s="2" t="s">
        <v>8</v>
      </c>
      <c r="F34" t="s">
        <v>58</v>
      </c>
      <c r="G34" s="3">
        <v>40</v>
      </c>
      <c r="J34" s="3">
        <f xml:space="preserve"> (SUM(C33:C42)+ SUM(G33:G42)+SUM(E33:E42))</f>
        <v>325</v>
      </c>
    </row>
    <row r="35" spans="1:10" x14ac:dyDescent="0.25">
      <c r="B35" s="2" t="s">
        <v>10</v>
      </c>
      <c r="C35" s="3">
        <v>5</v>
      </c>
      <c r="D35" s="2" t="s">
        <v>11</v>
      </c>
      <c r="F35" t="s">
        <v>60</v>
      </c>
      <c r="G35" s="3">
        <v>41</v>
      </c>
      <c r="J35" t="s">
        <v>4</v>
      </c>
    </row>
    <row r="36" spans="1:10" x14ac:dyDescent="0.25">
      <c r="B36" s="2" t="s">
        <v>13</v>
      </c>
      <c r="C36" s="3">
        <v>25</v>
      </c>
      <c r="F36" t="s">
        <v>61</v>
      </c>
      <c r="G36" s="3">
        <v>30</v>
      </c>
      <c r="J36" s="3">
        <f>SUM(H33:H42)</f>
        <v>0</v>
      </c>
    </row>
    <row r="37" spans="1:10" x14ac:dyDescent="0.25">
      <c r="B37" s="2" t="s">
        <v>26</v>
      </c>
      <c r="C37" s="3">
        <v>7</v>
      </c>
      <c r="F37" t="s">
        <v>62</v>
      </c>
      <c r="G37" s="3">
        <v>30</v>
      </c>
      <c r="J37" t="s">
        <v>16</v>
      </c>
    </row>
    <row r="38" spans="1:10" x14ac:dyDescent="0.25">
      <c r="B38" s="2" t="s">
        <v>32</v>
      </c>
      <c r="C38" s="3">
        <v>30</v>
      </c>
      <c r="F38" t="s">
        <v>63</v>
      </c>
      <c r="G38" s="3">
        <v>6</v>
      </c>
      <c r="J38" s="3">
        <f>J36-J34</f>
        <v>-325</v>
      </c>
    </row>
    <row r="39" spans="1:10" x14ac:dyDescent="0.25">
      <c r="F39" t="s">
        <v>64</v>
      </c>
      <c r="G39" s="3">
        <v>23</v>
      </c>
    </row>
    <row r="40" spans="1:10" x14ac:dyDescent="0.25">
      <c r="F40" t="s">
        <v>65</v>
      </c>
      <c r="G40" s="3">
        <v>13</v>
      </c>
    </row>
    <row r="41" spans="1:10" x14ac:dyDescent="0.25">
      <c r="F41" t="s">
        <v>67</v>
      </c>
      <c r="G41" s="3">
        <v>5</v>
      </c>
    </row>
    <row r="42" spans="1:10" x14ac:dyDescent="0.25">
      <c r="F42" t="s">
        <v>66</v>
      </c>
      <c r="G42" s="3">
        <v>20</v>
      </c>
    </row>
    <row r="43" spans="1:10" x14ac:dyDescent="0.25">
      <c r="F43" t="s">
        <v>68</v>
      </c>
      <c r="G43" s="3">
        <v>20</v>
      </c>
    </row>
    <row r="44" spans="1:10" x14ac:dyDescent="0.25">
      <c r="F44" t="s">
        <v>69</v>
      </c>
      <c r="G44" s="3">
        <v>60</v>
      </c>
    </row>
    <row r="45" spans="1:10" x14ac:dyDescent="0.25">
      <c r="F45" t="s">
        <v>70</v>
      </c>
      <c r="G45" s="3">
        <v>120</v>
      </c>
    </row>
    <row r="46" spans="1:10" s="9" customFormat="1" x14ac:dyDescent="0.25">
      <c r="B46" s="10"/>
      <c r="C46" s="11"/>
      <c r="D46" s="10"/>
      <c r="E46" s="11"/>
      <c r="G46" s="11"/>
      <c r="H46" s="11"/>
      <c r="I46" s="11"/>
    </row>
    <row r="47" spans="1:10" x14ac:dyDescent="0.25">
      <c r="A47" t="s">
        <v>19</v>
      </c>
      <c r="F47" t="s">
        <v>71</v>
      </c>
      <c r="G47" s="3">
        <v>48</v>
      </c>
      <c r="I47" s="3">
        <v>50</v>
      </c>
      <c r="J47" t="s">
        <v>5</v>
      </c>
    </row>
    <row r="48" spans="1:10" x14ac:dyDescent="0.25">
      <c r="B48" s="2" t="s">
        <v>7</v>
      </c>
      <c r="C48" s="3">
        <v>10</v>
      </c>
      <c r="D48" s="2" t="s">
        <v>8</v>
      </c>
      <c r="E48" s="3">
        <v>35</v>
      </c>
      <c r="F48" t="s">
        <v>72</v>
      </c>
      <c r="G48" s="3">
        <v>30</v>
      </c>
      <c r="J48" s="3">
        <f xml:space="preserve"> (SUM(C47:C55)+ SUM(G47:G55)+SUM(E47:E55))</f>
        <v>403</v>
      </c>
    </row>
    <row r="49" spans="1:10" x14ac:dyDescent="0.25">
      <c r="B49" s="2" t="s">
        <v>10</v>
      </c>
      <c r="C49" s="3">
        <v>5</v>
      </c>
      <c r="D49" s="2" t="s">
        <v>11</v>
      </c>
      <c r="E49" s="3">
        <v>35</v>
      </c>
      <c r="F49" t="s">
        <v>73</v>
      </c>
      <c r="G49" s="3">
        <v>30</v>
      </c>
      <c r="J49" t="s">
        <v>4</v>
      </c>
    </row>
    <row r="50" spans="1:10" x14ac:dyDescent="0.25">
      <c r="B50" s="2" t="s">
        <v>26</v>
      </c>
      <c r="C50" s="3">
        <v>7</v>
      </c>
      <c r="F50" t="s">
        <v>43</v>
      </c>
      <c r="G50" s="3">
        <v>20</v>
      </c>
      <c r="J50" s="3">
        <f>SUM(I47:I56)</f>
        <v>50</v>
      </c>
    </row>
    <row r="51" spans="1:10" x14ac:dyDescent="0.25">
      <c r="F51" t="s">
        <v>74</v>
      </c>
      <c r="G51" s="3">
        <v>8</v>
      </c>
      <c r="J51" t="s">
        <v>16</v>
      </c>
    </row>
    <row r="52" spans="1:10" x14ac:dyDescent="0.25">
      <c r="F52" t="s">
        <v>71</v>
      </c>
      <c r="G52" s="3">
        <v>21</v>
      </c>
      <c r="J52" s="3">
        <f>J50-J48</f>
        <v>-353</v>
      </c>
    </row>
    <row r="53" spans="1:10" x14ac:dyDescent="0.25">
      <c r="F53" t="s">
        <v>75</v>
      </c>
      <c r="G53" s="3">
        <v>14</v>
      </c>
    </row>
    <row r="54" spans="1:10" x14ac:dyDescent="0.25">
      <c r="F54" t="s">
        <v>76</v>
      </c>
      <c r="G54" s="3">
        <v>120</v>
      </c>
    </row>
    <row r="55" spans="1:10" x14ac:dyDescent="0.25">
      <c r="F55" t="s">
        <v>77</v>
      </c>
      <c r="G55" s="3">
        <v>20</v>
      </c>
    </row>
    <row r="56" spans="1:10" s="9" customFormat="1" x14ac:dyDescent="0.25">
      <c r="B56" s="10"/>
      <c r="C56" s="11"/>
      <c r="D56" s="10"/>
      <c r="E56" s="11"/>
      <c r="G56" s="11"/>
      <c r="H56" s="11"/>
      <c r="I56" s="11"/>
    </row>
    <row r="57" spans="1:10" x14ac:dyDescent="0.25">
      <c r="A57" t="s">
        <v>20</v>
      </c>
      <c r="F57" t="s">
        <v>78</v>
      </c>
      <c r="G57" s="3">
        <v>670</v>
      </c>
      <c r="J57" t="s">
        <v>5</v>
      </c>
    </row>
    <row r="58" spans="1:10" x14ac:dyDescent="0.25">
      <c r="B58" s="2" t="s">
        <v>7</v>
      </c>
      <c r="C58" s="3">
        <v>10</v>
      </c>
      <c r="D58" s="2" t="s">
        <v>8</v>
      </c>
      <c r="F58" t="s">
        <v>79</v>
      </c>
      <c r="G58" s="3">
        <v>20</v>
      </c>
      <c r="J58" s="3">
        <f xml:space="preserve"> (SUM(C57:C68)+ SUM(G57:G68)+SUM(E57:E68))</f>
        <v>1005</v>
      </c>
    </row>
    <row r="59" spans="1:10" x14ac:dyDescent="0.25">
      <c r="B59" s="2" t="s">
        <v>10</v>
      </c>
      <c r="C59" s="3">
        <v>5</v>
      </c>
      <c r="D59" s="2" t="s">
        <v>11</v>
      </c>
      <c r="F59" t="s">
        <v>80</v>
      </c>
      <c r="G59" s="3">
        <v>50</v>
      </c>
      <c r="J59" t="s">
        <v>4</v>
      </c>
    </row>
    <row r="60" spans="1:10" x14ac:dyDescent="0.25">
      <c r="B60" s="2" t="s">
        <v>27</v>
      </c>
      <c r="C60" s="3">
        <v>7</v>
      </c>
      <c r="F60" t="s">
        <v>43</v>
      </c>
      <c r="G60" s="3">
        <v>31</v>
      </c>
      <c r="J60" s="3">
        <f>SUM(I57:I68)</f>
        <v>0</v>
      </c>
    </row>
    <row r="61" spans="1:10" x14ac:dyDescent="0.25">
      <c r="F61" t="s">
        <v>43</v>
      </c>
      <c r="G61" s="3">
        <v>32</v>
      </c>
      <c r="J61" t="s">
        <v>16</v>
      </c>
    </row>
    <row r="62" spans="1:10" x14ac:dyDescent="0.25">
      <c r="F62" t="s">
        <v>50</v>
      </c>
      <c r="G62" s="3">
        <v>17</v>
      </c>
      <c r="J62" s="3">
        <f>J60-J58</f>
        <v>-1005</v>
      </c>
    </row>
    <row r="63" spans="1:10" x14ac:dyDescent="0.25">
      <c r="F63" t="s">
        <v>43</v>
      </c>
      <c r="G63" s="3">
        <v>46</v>
      </c>
    </row>
    <row r="64" spans="1:10" x14ac:dyDescent="0.25">
      <c r="F64" t="s">
        <v>50</v>
      </c>
      <c r="G64" s="3">
        <v>15</v>
      </c>
    </row>
    <row r="65" spans="1:10" x14ac:dyDescent="0.25">
      <c r="F65" t="s">
        <v>43</v>
      </c>
      <c r="G65" s="3">
        <v>25</v>
      </c>
    </row>
    <row r="66" spans="1:10" x14ac:dyDescent="0.25">
      <c r="F66" t="s">
        <v>82</v>
      </c>
      <c r="G66" s="3">
        <v>43</v>
      </c>
    </row>
    <row r="67" spans="1:10" x14ac:dyDescent="0.25">
      <c r="F67" t="s">
        <v>50</v>
      </c>
      <c r="G67" s="3">
        <v>14</v>
      </c>
    </row>
    <row r="68" spans="1:10" x14ac:dyDescent="0.25">
      <c r="F68" t="s">
        <v>81</v>
      </c>
      <c r="G68" s="3">
        <v>20</v>
      </c>
    </row>
    <row r="69" spans="1:10" s="9" customFormat="1" x14ac:dyDescent="0.25">
      <c r="B69" s="10"/>
      <c r="C69" s="11"/>
      <c r="D69" s="10"/>
      <c r="E69" s="11"/>
      <c r="G69" s="11"/>
      <c r="H69" s="11"/>
      <c r="I69" s="11"/>
    </row>
    <row r="70" spans="1:10" x14ac:dyDescent="0.25">
      <c r="A70" t="s">
        <v>21</v>
      </c>
      <c r="F70" t="s">
        <v>31</v>
      </c>
      <c r="G70" s="3">
        <v>115</v>
      </c>
      <c r="J70" t="s">
        <v>5</v>
      </c>
    </row>
    <row r="71" spans="1:10" x14ac:dyDescent="0.25">
      <c r="B71" s="2" t="s">
        <v>7</v>
      </c>
      <c r="C71" s="3">
        <v>10</v>
      </c>
      <c r="D71" s="2" t="s">
        <v>8</v>
      </c>
      <c r="F71" t="s">
        <v>43</v>
      </c>
      <c r="G71" s="3">
        <v>33</v>
      </c>
      <c r="J71" s="3">
        <f xml:space="preserve"> (SUM(C70:C78)+ SUM(G70:G78)+SUM(E70:E78))</f>
        <v>387</v>
      </c>
    </row>
    <row r="72" spans="1:10" x14ac:dyDescent="0.25">
      <c r="B72" s="2" t="s">
        <v>10</v>
      </c>
      <c r="C72" s="3">
        <v>5</v>
      </c>
      <c r="D72" s="2" t="s">
        <v>11</v>
      </c>
      <c r="E72" s="3">
        <v>24</v>
      </c>
      <c r="F72" t="s">
        <v>83</v>
      </c>
      <c r="G72" s="3">
        <v>22</v>
      </c>
      <c r="J72" t="s">
        <v>4</v>
      </c>
    </row>
    <row r="73" spans="1:10" x14ac:dyDescent="0.25">
      <c r="B73" s="2" t="s">
        <v>26</v>
      </c>
      <c r="C73" s="3">
        <v>7</v>
      </c>
      <c r="F73" t="s">
        <v>84</v>
      </c>
      <c r="G73" s="3">
        <v>171</v>
      </c>
      <c r="J73" s="3">
        <f>SUM(I70:I78)</f>
        <v>0</v>
      </c>
    </row>
    <row r="74" spans="1:10" x14ac:dyDescent="0.25">
      <c r="J74" t="s">
        <v>16</v>
      </c>
    </row>
    <row r="75" spans="1:10" x14ac:dyDescent="0.25">
      <c r="J75" s="3">
        <f>J73-J71</f>
        <v>-387</v>
      </c>
    </row>
    <row r="79" spans="1:10" s="9" customFormat="1" x14ac:dyDescent="0.25">
      <c r="B79" s="10"/>
      <c r="C79" s="11"/>
      <c r="D79" s="10"/>
      <c r="E79" s="11"/>
      <c r="G79" s="11"/>
      <c r="H79" s="11"/>
      <c r="I79" s="11"/>
    </row>
    <row r="80" spans="1:10" x14ac:dyDescent="0.25">
      <c r="A80" t="s">
        <v>22</v>
      </c>
      <c r="J80" t="s">
        <v>5</v>
      </c>
    </row>
    <row r="81" spans="1:10" x14ac:dyDescent="0.25">
      <c r="B81" s="2" t="s">
        <v>7</v>
      </c>
      <c r="C81" s="3">
        <v>10</v>
      </c>
      <c r="D81" s="2" t="s">
        <v>8</v>
      </c>
      <c r="J81" s="3">
        <f xml:space="preserve"> (SUM(C80:C88)+ SUM(G80:G88)+SUM(E80:E88))</f>
        <v>22</v>
      </c>
    </row>
    <row r="82" spans="1:10" x14ac:dyDescent="0.25">
      <c r="B82" s="2" t="s">
        <v>10</v>
      </c>
      <c r="C82" s="3">
        <v>5</v>
      </c>
      <c r="D82" s="2" t="s">
        <v>11</v>
      </c>
      <c r="J82" t="s">
        <v>4</v>
      </c>
    </row>
    <row r="83" spans="1:10" x14ac:dyDescent="0.25">
      <c r="B83" s="2" t="s">
        <v>26</v>
      </c>
      <c r="C83" s="3">
        <v>7</v>
      </c>
      <c r="J83" s="3">
        <f>SUM(I80:I88)</f>
        <v>0</v>
      </c>
    </row>
    <row r="84" spans="1:10" x14ac:dyDescent="0.25">
      <c r="J84" t="s">
        <v>16</v>
      </c>
    </row>
    <row r="85" spans="1:10" x14ac:dyDescent="0.25">
      <c r="J85" s="3">
        <f>J83-J81</f>
        <v>-22</v>
      </c>
    </row>
    <row r="89" spans="1:10" s="9" customFormat="1" x14ac:dyDescent="0.25">
      <c r="B89" s="10"/>
      <c r="C89" s="11"/>
      <c r="D89" s="10"/>
      <c r="E89" s="11"/>
      <c r="G89" s="11"/>
      <c r="H89" s="11"/>
      <c r="I89" s="11"/>
    </row>
    <row r="90" spans="1:10" x14ac:dyDescent="0.25">
      <c r="A90" t="s">
        <v>23</v>
      </c>
      <c r="J90" t="s">
        <v>5</v>
      </c>
    </row>
    <row r="91" spans="1:10" x14ac:dyDescent="0.25">
      <c r="B91" s="2" t="s">
        <v>24</v>
      </c>
      <c r="C91" s="3">
        <v>10</v>
      </c>
      <c r="D91" s="2" t="s">
        <v>8</v>
      </c>
      <c r="J91" s="3">
        <f xml:space="preserve"> (SUM(C90:C98)+ SUM(G90:G98)+SUM(E90:E98))</f>
        <v>22</v>
      </c>
    </row>
    <row r="92" spans="1:10" x14ac:dyDescent="0.25">
      <c r="B92" s="2" t="s">
        <v>10</v>
      </c>
      <c r="C92" s="3">
        <v>5</v>
      </c>
      <c r="D92" s="2" t="s">
        <v>11</v>
      </c>
      <c r="J92" t="s">
        <v>4</v>
      </c>
    </row>
    <row r="93" spans="1:10" x14ac:dyDescent="0.25">
      <c r="B93" s="2" t="s">
        <v>27</v>
      </c>
      <c r="C93" s="3">
        <v>7</v>
      </c>
      <c r="J93" s="3">
        <f>SUM(I80:I88)</f>
        <v>0</v>
      </c>
    </row>
    <row r="94" spans="1:10" x14ac:dyDescent="0.25">
      <c r="J94" t="s">
        <v>16</v>
      </c>
    </row>
    <row r="95" spans="1:10" x14ac:dyDescent="0.25">
      <c r="J95" s="3">
        <f>J93-J91</f>
        <v>-22</v>
      </c>
    </row>
    <row r="99" spans="1:10" s="9" customFormat="1" x14ac:dyDescent="0.25">
      <c r="B99" s="10"/>
      <c r="C99" s="11"/>
      <c r="D99" s="10"/>
      <c r="E99" s="11"/>
      <c r="G99" s="11"/>
      <c r="H99" s="11"/>
      <c r="I99" s="11"/>
    </row>
    <row r="100" spans="1:10" x14ac:dyDescent="0.25">
      <c r="A100" t="s">
        <v>25</v>
      </c>
      <c r="J100" t="s">
        <v>5</v>
      </c>
    </row>
    <row r="101" spans="1:10" x14ac:dyDescent="0.25">
      <c r="B101" s="2" t="s">
        <v>7</v>
      </c>
      <c r="C101" s="3">
        <v>10</v>
      </c>
      <c r="D101" s="2" t="s">
        <v>8</v>
      </c>
      <c r="J101" s="3">
        <f xml:space="preserve"> (SUM(C100:C108)+ SUM(G100:G108)+SUM(E100:E108))</f>
        <v>22</v>
      </c>
    </row>
    <row r="102" spans="1:10" x14ac:dyDescent="0.25">
      <c r="B102" s="2" t="s">
        <v>10</v>
      </c>
      <c r="C102" s="3">
        <v>5</v>
      </c>
      <c r="D102" s="2" t="s">
        <v>11</v>
      </c>
      <c r="J102" t="s">
        <v>4</v>
      </c>
    </row>
    <row r="103" spans="1:10" x14ac:dyDescent="0.25">
      <c r="B103" s="2" t="s">
        <v>26</v>
      </c>
      <c r="C103" s="3">
        <v>7</v>
      </c>
      <c r="J103" s="3">
        <f>SUM(I100:I108)</f>
        <v>0</v>
      </c>
    </row>
    <row r="104" spans="1:10" x14ac:dyDescent="0.25">
      <c r="J104" t="s">
        <v>16</v>
      </c>
    </row>
    <row r="105" spans="1:10" x14ac:dyDescent="0.25">
      <c r="J105" s="3">
        <f>J103-J101</f>
        <v>-22</v>
      </c>
    </row>
    <row r="110" spans="1:10" s="14" customFormat="1" x14ac:dyDescent="0.25">
      <c r="B110" s="12"/>
      <c r="C110" s="13"/>
      <c r="D110" s="12"/>
      <c r="E110" s="13"/>
      <c r="G110" s="13"/>
      <c r="H110" s="13"/>
      <c r="I110" s="13"/>
    </row>
  </sheetData>
  <conditionalFormatting sqref="C1:C104857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">
    <cfRule type="expression" dxfId="8" priority="10">
      <formula>$J$8&lt; 0</formula>
    </cfRule>
  </conditionalFormatting>
  <conditionalFormatting sqref="J22">
    <cfRule type="expression" dxfId="7" priority="9">
      <formula>$J$22&lt;0</formula>
    </cfRule>
  </conditionalFormatting>
  <conditionalFormatting sqref="J38">
    <cfRule type="expression" dxfId="6" priority="8">
      <formula>$J$38&lt;0</formula>
    </cfRule>
  </conditionalFormatting>
  <conditionalFormatting sqref="J52">
    <cfRule type="expression" dxfId="5" priority="6">
      <formula>$J$52&lt;0</formula>
    </cfRule>
    <cfRule type="expression" priority="7">
      <formula>$J$52&lt;0</formula>
    </cfRule>
  </conditionalFormatting>
  <conditionalFormatting sqref="J62">
    <cfRule type="expression" dxfId="4" priority="5">
      <formula>$J$62&lt;0</formula>
    </cfRule>
  </conditionalFormatting>
  <conditionalFormatting sqref="J75">
    <cfRule type="expression" dxfId="3" priority="4">
      <formula>$J$85&lt;0</formula>
    </cfRule>
  </conditionalFormatting>
  <conditionalFormatting sqref="J85">
    <cfRule type="expression" dxfId="2" priority="3">
      <formula>$J$85&lt;0</formula>
    </cfRule>
  </conditionalFormatting>
  <conditionalFormatting sqref="J95">
    <cfRule type="expression" dxfId="1" priority="2">
      <formula>$J$95&lt;0</formula>
    </cfRule>
  </conditionalFormatting>
  <conditionalFormatting sqref="J105">
    <cfRule type="expression" dxfId="0" priority="1">
      <formula>$J$105&lt;0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riccardo buso</dc:creator>
  <cp:keywords/>
  <dc:description/>
  <cp:lastModifiedBy>Riccardo Buso</cp:lastModifiedBy>
  <cp:revision/>
  <dcterms:created xsi:type="dcterms:W3CDTF">2025-09-10T11:24:38Z</dcterms:created>
  <dcterms:modified xsi:type="dcterms:W3CDTF">2026-03-19T20:20:30Z</dcterms:modified>
  <cp:category/>
  <cp:contentStatus/>
</cp:coreProperties>
</file>